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ellimages.xml" ContentType="application/vnd.wps-officedocument.cellim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4" rupBuild="9302"/>
  <workbookPr defaultThemeVersion="124226"/>
  <bookViews>
    <workbookView xWindow="240" yWindow="108" windowWidth="14808" windowHeight="8016" activeTab="0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<sst xmlns="http://schemas.openxmlformats.org/spreadsheetml/2006/main" uniqueCount="134" count="134">
  <si>
    <t>SL. No.</t>
  </si>
  <si>
    <t>Name</t>
  </si>
  <si>
    <t>Link</t>
  </si>
  <si>
    <t>DC MOTOR</t>
  </si>
  <si>
    <t>Battery</t>
  </si>
  <si>
    <t>DC Motor</t>
  </si>
  <si>
    <t xml:space="preserve">250W 24V </t>
  </si>
  <si>
    <t>Speed controller</t>
  </si>
  <si>
    <t>ESC</t>
  </si>
  <si>
    <t>Charger</t>
  </si>
  <si>
    <t>14V 2A</t>
  </si>
  <si>
    <t>Sprocket</t>
  </si>
  <si>
    <t>Freewheel</t>
  </si>
  <si>
    <t>Chain</t>
  </si>
  <si>
    <t>25H</t>
  </si>
  <si>
    <t>Keylock switch</t>
  </si>
  <si>
    <t>12V 1A</t>
  </si>
  <si>
    <t>12V to 5V 3A</t>
  </si>
  <si>
    <t>Total Price</t>
  </si>
  <si>
    <t>24V 12Ah</t>
  </si>
  <si>
    <t>Necessary minimum expenses</t>
  </si>
  <si>
    <t>Additional expenses</t>
  </si>
  <si>
    <t>Specifications</t>
  </si>
  <si>
    <t>Price</t>
  </si>
  <si>
    <t>USB Converter</t>
  </si>
  <si>
    <t>USB</t>
  </si>
  <si>
    <t>Headlight</t>
  </si>
  <si>
    <t>Light</t>
  </si>
  <si>
    <t>80T OD(165) ID(54)</t>
  </si>
  <si>
    <t>22T OD(93) ID(34)</t>
  </si>
  <si>
    <t>Voltmeter</t>
  </si>
  <si>
    <t xml:space="preserve">Wire </t>
  </si>
  <si>
    <t>Wire</t>
  </si>
  <si>
    <t>14 AWG</t>
  </si>
  <si>
    <t>22 AWG</t>
  </si>
  <si>
    <t>Voltmeter and ammeter</t>
  </si>
  <si>
    <t>0-100V 50A</t>
  </si>
  <si>
    <t>Throtle</t>
  </si>
  <si>
    <t>23mm 1.56M</t>
  </si>
  <si>
    <t>24V 33A</t>
  </si>
  <si>
    <t>Offline</t>
  </si>
  <si>
    <t>Ordered</t>
  </si>
  <si>
    <t>YES</t>
  </si>
  <si>
    <t>Tactile switch</t>
  </si>
  <si>
    <t>12mm x 12mm x 6mm</t>
  </si>
  <si>
    <t>Tactile</t>
  </si>
  <si>
    <t>Heat shrink</t>
  </si>
  <si>
    <t>1mm 5m</t>
  </si>
  <si>
    <t>2mm 3m</t>
  </si>
  <si>
    <t>Solder wire</t>
  </si>
  <si>
    <t>1mm 50g</t>
  </si>
  <si>
    <t>Solder</t>
  </si>
  <si>
    <t>DC 0 - 100V</t>
  </si>
  <si>
    <t>Switch</t>
  </si>
  <si>
    <t>Foam gasket</t>
  </si>
  <si>
    <t>10mm x 2mm x 10m</t>
  </si>
  <si>
    <t>Foam</t>
  </si>
  <si>
    <t>XT30-U</t>
  </si>
  <si>
    <t>Male</t>
  </si>
  <si>
    <t>Female</t>
  </si>
  <si>
    <t>2.1mm, 5.5mm</t>
  </si>
  <si>
    <t>Connector</t>
  </si>
  <si>
    <t>2 pins JST XH 2.54mm Pitch</t>
  </si>
  <si>
    <t>Connectors x 10</t>
  </si>
  <si>
    <t>Motor and battery socket (MALE) x 2</t>
  </si>
  <si>
    <t>Motor and battery socket (FEMALE) x 2</t>
  </si>
  <si>
    <t>Charger connector</t>
  </si>
  <si>
    <t>Charge</t>
  </si>
  <si>
    <t>12V 1.2A</t>
  </si>
  <si>
    <t>Final</t>
  </si>
  <si>
    <t>Power switch</t>
  </si>
  <si>
    <t>Self lock</t>
  </si>
  <si>
    <t>Push button switch</t>
  </si>
  <si>
    <t>DPDT Switch</t>
  </si>
  <si>
    <t>Delivery charges</t>
  </si>
  <si>
    <t>Discount</t>
  </si>
  <si>
    <t>Free</t>
  </si>
  <si>
    <t>Making charges</t>
  </si>
  <si>
    <t>SL No.</t>
  </si>
  <si>
    <t>Lathe</t>
  </si>
  <si>
    <t>Sprocket lathe and freewheel weld with sprocket</t>
  </si>
  <si>
    <t>Acrylic sheet</t>
  </si>
  <si>
    <t>4' x 2' + 2' x 3"</t>
  </si>
  <si>
    <t>Sheet</t>
  </si>
  <si>
    <t xml:space="preserve">M6 2" </t>
  </si>
  <si>
    <t>Nut and bolt and warsher</t>
  </si>
  <si>
    <t>Nut</t>
  </si>
  <si>
    <t xml:space="preserve">34mm </t>
  </si>
  <si>
    <t>Double sided threaded hub</t>
  </si>
  <si>
    <t>Hub</t>
  </si>
  <si>
    <t>Drill</t>
  </si>
  <si>
    <t>Motor plate</t>
  </si>
  <si>
    <t>14cm x 8cm</t>
  </si>
  <si>
    <t>N/A</t>
  </si>
  <si>
    <t xml:space="preserve">Motor plate holes </t>
  </si>
  <si>
    <t>Welding</t>
  </si>
  <si>
    <t>Sprocket welded to hub</t>
  </si>
  <si>
    <t>Chain joining</t>
  </si>
  <si>
    <t>Chain joined and wheel alignment</t>
  </si>
  <si>
    <t>1.5 feet</t>
  </si>
  <si>
    <t>5mm 1m</t>
  </si>
  <si>
    <t>Lock</t>
  </si>
  <si>
    <t>5 link</t>
  </si>
  <si>
    <t>130+180</t>
  </si>
  <si>
    <t xml:space="preserve"> 10A 220V On-Off-On + 6A On-Off-On</t>
  </si>
  <si>
    <t>30+40</t>
  </si>
  <si>
    <t>VTR Switch</t>
  </si>
  <si>
    <t>6 pin on/off</t>
  </si>
  <si>
    <t>Vtr</t>
  </si>
  <si>
    <t>Lacing</t>
  </si>
  <si>
    <t>Spokes joined to the wheel</t>
  </si>
  <si>
    <t>Tube</t>
  </si>
  <si>
    <t xml:space="preserve">Valve tube replaced </t>
  </si>
  <si>
    <t>Philips connector and plug</t>
  </si>
  <si>
    <t xml:space="preserve">cable with AC connector </t>
  </si>
  <si>
    <t xml:space="preserve">Philips </t>
  </si>
  <si>
    <t xml:space="preserve">Balls </t>
  </si>
  <si>
    <t>for axle</t>
  </si>
  <si>
    <t>2 × 100</t>
  </si>
  <si>
    <t>2 × 18</t>
  </si>
  <si>
    <t>Balls</t>
  </si>
  <si>
    <t>1 × 18</t>
  </si>
  <si>
    <t xml:space="preserve">YES
</t>
  </si>
  <si>
    <t xml:space="preserve">Spokes </t>
  </si>
  <si>
    <t xml:space="preserve">for 26" </t>
  </si>
  <si>
    <t>Spokes</t>
  </si>
  <si>
    <t xml:space="preserve">Nuts and bolts and warshers </t>
  </si>
  <si>
    <t>4 inch × 12</t>
  </si>
  <si>
    <t>NA</t>
  </si>
  <si>
    <t>Screw</t>
  </si>
  <si>
    <t xml:space="preserve">YES </t>
  </si>
  <si>
    <t>Battery plate</t>
  </si>
  <si>
    <t>1.5 ft 1 inch</t>
  </si>
  <si>
    <t>Na</t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</si>
</sst>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name val="Calibri"/>
      <sz val="11"/>
    </font>
    <font>
      <name val="Calibri"/>
      <sz val="11"/>
      <color rgb="FF000000"/>
    </font>
    <font>
      <name val="Calibri"/>
      <u/>
      <sz val="11"/>
      <color rgb="FF0000FF"/>
    </font>
    <font>
      <name val="Calibri"/>
      <u/>
      <sz val="11"/>
      <color indexed="4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top"/>
      <protection locked="0" hidden="0"/>
    </xf>
  </cellStyleXfs>
  <cellXfs count="16">
    <xf numFmtId="0" fontId="0" fillId="0" borderId="0" xfId="0">
      <alignment vertical="center"/>
    </xf>
    <xf numFmtId="0" fontId="1" fillId="0" borderId="0" xfId="0" applyAlignment="1">
      <alignment horizontal="center" vertical="bottom"/>
    </xf>
    <xf numFmtId="0" fontId="1" fillId="0" borderId="0" xfId="0" applyAlignment="1">
      <alignment horizontal="center" vertical="bottom"/>
    </xf>
    <xf numFmtId="0" fontId="1" fillId="0" borderId="0" xfId="0" applyAlignment="1">
      <alignment horizontal="center" vertical="bottom"/>
    </xf>
    <xf numFmtId="0" fontId="2" fillId="0" borderId="0" xfId="1" applyAlignment="1">
      <alignment vertical="bottom"/>
    </xf>
    <xf numFmtId="0" fontId="1" fillId="2" borderId="0" xfId="0" applyFill="1" applyAlignment="1">
      <alignment horizontal="center" vertical="bottom"/>
    </xf>
    <xf numFmtId="0" fontId="1" fillId="0" borderId="0" xfId="0" applyAlignment="1">
      <alignment horizontal="center" vertical="bottom"/>
    </xf>
    <xf numFmtId="0" fontId="1" fillId="0" borderId="0" xfId="0" applyAlignment="1">
      <alignment horizontal="center" vertical="bottom"/>
    </xf>
    <xf numFmtId="0" fontId="1" fillId="0" borderId="0" xfId="0" applyAlignment="1">
      <alignment horizontal="left" vertical="bottom"/>
    </xf>
    <xf numFmtId="0" fontId="1" fillId="0" borderId="0" xfId="0" applyAlignment="1">
      <alignment horizontal="center" vertical="bottom"/>
    </xf>
    <xf numFmtId="0" fontId="1" fillId="0" borderId="0" xfId="0" applyAlignment="1">
      <alignment horizontal="center" vertical="bottom"/>
    </xf>
    <xf numFmtId="0" fontId="1" fillId="0" borderId="0" xfId="0" applyAlignment="1">
      <alignment horizontal="center" vertical="bottom"/>
    </xf>
    <xf numFmtId="0" fontId="1" fillId="2" borderId="0" xfId="0" applyFill="1" applyAlignment="1">
      <alignment horizontal="center" vertical="bottom" wrapText="1"/>
    </xf>
    <xf numFmtId="0" fontId="3" fillId="0" borderId="0" xfId="1" applyFont="1" applyAlignment="1">
      <alignment vertical="bottom"/>
    </xf>
    <xf numFmtId="0" fontId="1" fillId="0" borderId="0" xfId="0" applyFill="1" applyAlignment="1">
      <alignment horizontal="center" vertical="bottom"/>
    </xf>
    <xf numFmtId="0" fontId="1" fillId="0" borderId="0" xfId="0" applyAlignment="1">
      <alignment horizontal="left" vertical="bottom"/>
    </xf>
  </cellXfs>
  <cellStyles count="2">
    <cellStyle name="常规" xfId="0" builtinId="0"/>
    <cellStyle name="Hyperlink" xfId="1"/>
  </cellStyles>
  <dxfs count="0"/>
  <tableStyles defaultTableStyle="TableStyleMedium2" defaultPivotStyle="PivotStyleMedium9" count="0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www.wps.cn/officeDocument/2020/cellImage" Target="cellimages.xml"/><Relationship Id="rId5" Type="http://schemas.openxmlformats.org/officeDocument/2006/relationships/sharedStrings" Target="sharedStrings.xml"/><Relationship Id="rId6" Type="http://schemas.openxmlformats.org/officeDocument/2006/relationships/styles" Target="styles.xml"/><Relationship Id="rId7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robu.in/product/my1016-250w-dc-motor/" TargetMode="External"/><Relationship Id="rId2" Type="http://schemas.openxmlformats.org/officeDocument/2006/relationships/hyperlink" Target="https://www.amazon.in/Amaron-Quanta-7AH-12V-Battery/dp/B01F74VDIG/ref=sr_1_3?keywords=12v%2012ah%2020hr%20battery&amp;qid=1680336700&amp;sr=8-3" TargetMode="External"/><Relationship Id="rId3" Type="http://schemas.openxmlformats.org/officeDocument/2006/relationships/hyperlink" Target="https://www.amazon.in/gp/product/B0BM5SV6F9/ref=sw_img_1?smid=A1KKHARUWH0JGF&amp;psc=1" TargetMode="External"/><Relationship Id="rId4" Type="http://schemas.openxmlformats.org/officeDocument/2006/relationships/hyperlink" Target="https://robu.in/product/25h-sprocket-80t-for-ebike/" TargetMode="External"/><Relationship Id="rId5" Type="http://schemas.openxmlformats.org/officeDocument/2006/relationships/hyperlink" Target="https://robu.in/product/22t-freewheel-for-ebike/" TargetMode="External"/><Relationship Id="rId6" Type="http://schemas.openxmlformats.org/officeDocument/2006/relationships/hyperlink" Target="https://robu.in/product/25h-chain-for-ebike-motor-my1016-my6812/" TargetMode="External"/><Relationship Id="rId7" Type="http://schemas.openxmlformats.org/officeDocument/2006/relationships/hyperlink" Target="https://www.flipkart.com/sna-electric-scooter-bicycle-switch-key-power-lock-bike-e-scooter-automotive-electronic-hobby-kit/p/itmbd9f555a97727?pid=EHKG3YR4UZU6STGJ&amp;lid=LSTEHKG3YR4UZU6STGJWXNG85&amp;marketplace=FLIPKART&amp;q=keylock%20switch&amp;store=search.flipkart.co" TargetMode="External"/><Relationship Id="rId8" Type="http://schemas.openxmlformats.org/officeDocument/2006/relationships/hyperlink" Target="https://robu.in/product/dual-usb-output-9v-12v-24v-to-5v-3a-dc-dc-car-charging-voltage-stabilizer-module/" TargetMode="External"/><Relationship Id="rId9" Type="http://schemas.openxmlformats.org/officeDocument/2006/relationships/hyperlink" Target="https://www.amazon.in/gp/product/B08H5MFXKZ/ref=ox_sc_act_image_1?smid=A1TKTTBLY0AE12&amp;psc=1" TargetMode="External"/><Relationship Id="rId10" Type="http://schemas.openxmlformats.org/officeDocument/2006/relationships/hyperlink" Target="https://robu.in/product/dual-led-0-28-display-for-dc0-100v-50a-voltage-and-current-test-digital-instrument/?gclid=EAIaIQobChMIwPmb0ZeJ_gIVtr-WCh37TgbXEAQYAiABEgKLLvD_BwE" TargetMode="External"/><Relationship Id="rId11" Type="http://schemas.openxmlformats.org/officeDocument/2006/relationships/hyperlink" Target="https://robu.in/product/high-quality-14awg-silicone-wire-1m-red/" TargetMode="External"/><Relationship Id="rId12" Type="http://schemas.openxmlformats.org/officeDocument/2006/relationships/hyperlink" Target="https://robu.in/product/ul1007-22awg-pvc-wire/" TargetMode="External"/><Relationship Id="rId13" Type="http://schemas.openxmlformats.org/officeDocument/2006/relationships/hyperlink" Target="https://robu.in/product/accelerator-for-my1016/?gclid=EAIaIQobChMIq6qJgLKK_gIVNClyCh0gQw7ZEAQYAiABEgJ20PD_BwE" TargetMode="External"/><Relationship Id="rId14" Type="http://schemas.openxmlformats.org/officeDocument/2006/relationships/hyperlink" Target="https://robu.in/product/motor-controller-for-my1016-250w/" TargetMode="External"/><Relationship Id="rId15" Type="http://schemas.openxmlformats.org/officeDocument/2006/relationships/hyperlink" Target="https://www.googleadservices.com/pagead/aclk?sa=L&amp;ai=DChcSEwiSgc7Yu4v-AhVCJSsKHXT6AawYABAKGgJzZg&amp;ohost=www.google.com&amp;cid=CAASJuRoQJTzDJfpXadLLGBLbTBRcHh3WzcMCnRulVWcwpdaNxRezE2_&amp;sig=AOD64_1YQGzpmF8Rvv46mpeNlEvVxsUFNA&amp;ctype=5&amp;q=&amp;ved=2ahUKEwj2873Yu4v-AhXTT" TargetMode="External"/><Relationship Id="rId16" Type="http://schemas.openxmlformats.org/officeDocument/2006/relationships/hyperlink" Target="https://robu.in/product/heat-shrink-sleeve-1mm-black-5meter-industrial-grade-woer-hst/?gclid=EAIaIQobChMIzpjE8LyL_gIVEZlmAh0YEQjNEAQYAiABEgKKQvD_BwE" TargetMode="External"/><Relationship Id="rId17" Type="http://schemas.openxmlformats.org/officeDocument/2006/relationships/hyperlink" Target="https://robu.in/product/heat-shrink-sleeve-2mm-black-3meter-industrial-grade-woer-hst/?gclid=EAIaIQobChMImMzUgr2L_gIVlCQrCh1OkAMXEAQYASABEgK-b_D_BwE" TargetMode="External"/><Relationship Id="rId18" Type="http://schemas.openxmlformats.org/officeDocument/2006/relationships/hyperlink" Target="https://robu.in/product/0-28inch-0-100v-three-wire-dc-voltmeter-red/" TargetMode="External"/><Relationship Id="rId19" Type="http://schemas.openxmlformats.org/officeDocument/2006/relationships/hyperlink" Target="https://robu.in/product/10a-250v-dpdt-on-off-on-rocker-switch/" TargetMode="External"/><Relationship Id="rId20" Type="http://schemas.openxmlformats.org/officeDocument/2006/relationships/hyperlink" Target="https://www.jiomart.com/p/homeimprovement/tjikko-single-sided-foam-gasket-tape-10mm-width-5mm-thick-5meter-length-2-rolls/595406124?source=shoppingads&amp;gclid=EAIaIQobChMI-Pv8lOGQ_gIVQ7eWCh1qngBqEAQYAiABEgK5v_D_BwE" TargetMode="External"/><Relationship Id="rId21" Type="http://schemas.openxmlformats.org/officeDocument/2006/relationships/hyperlink" Target="https://robu.in/product/xt30u-male-bullet-connector/" TargetMode="External"/><Relationship Id="rId22" Type="http://schemas.openxmlformats.org/officeDocument/2006/relationships/hyperlink" Target="https://robu.in/product/xt30-u-female-bullet-connector/" TargetMode="External"/><Relationship Id="rId23" Type="http://schemas.openxmlformats.org/officeDocument/2006/relationships/hyperlink" Target="https://robu.in/product/2-pin-jst-xh-2-54mm-pitch-plug-and-socket-with-cable-10-pcs/" TargetMode="External"/><Relationship Id="rId24" Type="http://schemas.openxmlformats.org/officeDocument/2006/relationships/hyperlink" Target="https://robu.in/product/male-female-2-15-5mm-dc-power-jack-adapter-connector-plug-cctv-camera/" TargetMode="External"/><Relationship Id="rId25" Type="http://schemas.openxmlformats.org/officeDocument/2006/relationships/hyperlink" Target="https://www.flipkart.com/buku-soldering-wire-small-50gm-pack-1-0-w-simple/p/itmb211c80dd8b48?pid=SOIFYYT29BGAQYDH&amp;lid=LSTSOIFYYT29BGAQYDHSKYVST&amp;marketplace=FLIPKART&amp;q=solder%20wire&amp;store=h1m/hww/slm/hnz&amp;srno=s_1_8&amp;otracker=search&amp;otracker1=search&amp;fm=S" TargetMode="External"/><Relationship Id="rId26" Type="http://schemas.openxmlformats.org/officeDocument/2006/relationships/hyperlink" Target="https://www.flipkart.com/atekt-switches-self-lock-on-off-2-pin-push-button-switch-red-pack-power-supply-electronic-hobby-kit/p/itm8f974e7ffd6de?pid=EHKGAW8EUEKEPNJF&amp;lid=LSTEHKGAW8EUEKEPNJF8Y59N7&amp;marketplace=FLIPKART&amp;q=on%20off%20on%20switch&amp;store=search.flipkar" TargetMode="External"/><Relationship Id="rId27" Type="http://schemas.openxmlformats.org/officeDocument/2006/relationships/hyperlink" Target="https://www.google.com/search?q=acrylic%20sheet&amp;rlz=1C1CHBD_enIN1010IN1012&amp;oq=acryl&amp;aqs=chrome.1.69i57j69i59j0i433i512j0i131i433i512l2j0i433i512l5.3875j0j7&amp;sourceid=chrome&amp;ie=UTF-8" TargetMode="External"/><Relationship Id="rId28" Type="http://schemas.openxmlformats.org/officeDocument/2006/relationships/hyperlink" Target="https://www.google.com/shopping/product/9375765662114265945?q=double%20sided%20threaded%20hub&amp;rlz=1C1CHBD_enIN1025IN1025&amp;biw=1366&amp;bih=625&amp;dpr=1&amp;prds=eto:11512995137544717963_0,pid:14793703929478943371&amp;sa=X&amp;ved=0ahUKEwigx729reD-AhUdT2wGHamUAHYQ8wIIwgg" TargetMode="External"/><Relationship Id="rId29" Type="http://schemas.openxmlformats.org/officeDocument/2006/relationships/hyperlink" Target="http://www.amazon.in/" TargetMode="External"/><Relationship Id="rId30" Type="http://schemas.openxmlformats.org/officeDocument/2006/relationships/hyperlink" Target="http://www.flipkart.in/" TargetMode="External"/><Relationship Id="rId31" Type="http://schemas.openxmlformats.org/officeDocument/2006/relationships/hyperlink" Target="http://www.robu.in/" TargetMode="External"/><Relationship Id="rId32" Type="http://schemas.openxmlformats.org/officeDocument/2006/relationships/hyperlink" Target="https://www.amazon.in/Steel-Pieces-6-35mm-Silver-Bearing/dp/B0B1MMSV16/ref=asc_df_B0B1MMSV16/?tag=googleshopmob-21&amp;linkCode=df0&amp;hvadid=617537947895&amp;hvpos=&amp;hvnetw=g&amp;hvrand=10195746619452960476&amp;hvpone=&amp;hvptwo=&amp;hvqmt=&amp;hvdev=m&amp;hvdvcmdl=&amp;hvlocint=&amp;hvlocphy=9180099&amp;hvtargid=pla-1730162463749&amp;psc=1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I72"/>
  <sheetViews>
    <sheetView tabSelected="1" workbookViewId="0" topLeftCell="E56" zoomScale="67">
      <selection activeCell="A49" sqref="A49"/>
    </sheetView>
  </sheetViews>
  <sheetFormatPr defaultRowHeight="14.4" defaultColWidth="10"/>
  <cols>
    <col min="2" max="2" customWidth="1" width="43.109375" style="0"/>
    <col min="3" max="3" customWidth="1" width="31.664062" style="0"/>
    <col min="4" max="4" customWidth="1" width="13.886719" style="1"/>
    <col min="5" max="5" customWidth="1" width="22.886719" style="0"/>
    <col min="6" max="6" customWidth="1" width="8.886719" style="0"/>
    <col min="7" max="7" customWidth="1" width="8.886719" style="1"/>
  </cols>
  <sheetData>
    <row r="1" spans="8:8">
      <c r="B1" s="2" t="s">
        <v>20</v>
      </c>
      <c r="C1" s="2"/>
      <c r="D1" s="2"/>
    </row>
    <row r="2" spans="8:8">
      <c r="A2" t="s">
        <v>0</v>
      </c>
      <c r="B2" s="1" t="s">
        <v>1</v>
      </c>
      <c r="C2" s="1" t="s">
        <v>22</v>
      </c>
      <c r="D2" s="1" t="s">
        <v>23</v>
      </c>
      <c r="E2" s="1" t="s">
        <v>2</v>
      </c>
      <c r="F2" s="1" t="s">
        <v>40</v>
      </c>
      <c r="G2" s="1" t="s">
        <v>41</v>
      </c>
      <c r="H2" s="3" t="s">
        <v>69</v>
      </c>
    </row>
    <row r="3" spans="8:8">
      <c r="A3">
        <v>1.0</v>
      </c>
      <c r="B3" t="s">
        <v>5</v>
      </c>
      <c r="C3" t="s">
        <v>6</v>
      </c>
      <c r="D3" s="1">
        <v>1711.0</v>
      </c>
      <c r="E3" s="4" t="s">
        <v>3</v>
      </c>
      <c r="G3" s="5" t="s">
        <v>42</v>
      </c>
      <c r="H3">
        <v>1922.0</v>
      </c>
    </row>
    <row r="4" spans="8:8">
      <c r="A4">
        <v>2.0</v>
      </c>
      <c r="B4" t="s">
        <v>4</v>
      </c>
      <c r="C4" t="s">
        <v>19</v>
      </c>
      <c r="D4" s="1">
        <v>1000.0</v>
      </c>
      <c r="E4" s="4" t="s">
        <v>4</v>
      </c>
      <c r="F4">
        <v>1000.0</v>
      </c>
      <c r="G4" s="5" t="s">
        <v>42</v>
      </c>
      <c r="H4">
        <v>1000.0</v>
      </c>
    </row>
    <row r="5" spans="8:8">
      <c r="A5">
        <v>3.0</v>
      </c>
      <c r="B5" t="s">
        <v>7</v>
      </c>
      <c r="C5" t="s">
        <v>39</v>
      </c>
      <c r="D5" s="1">
        <v>569.0</v>
      </c>
      <c r="E5" s="4" t="s">
        <v>8</v>
      </c>
      <c r="G5" s="5" t="s">
        <v>42</v>
      </c>
      <c r="H5">
        <v>569.0</v>
      </c>
    </row>
    <row r="6" spans="8:8">
      <c r="A6">
        <v>4.0</v>
      </c>
      <c r="B6" t="s">
        <v>9</v>
      </c>
      <c r="C6" t="s">
        <v>10</v>
      </c>
      <c r="D6" s="1">
        <v>350.0</v>
      </c>
      <c r="E6" s="4" t="s">
        <v>9</v>
      </c>
      <c r="F6">
        <v>350.0</v>
      </c>
      <c r="G6" s="5" t="s">
        <v>42</v>
      </c>
      <c r="H6">
        <v>350.0</v>
      </c>
    </row>
    <row r="7" spans="8:8">
      <c r="A7">
        <v>5.0</v>
      </c>
      <c r="B7" t="s">
        <v>11</v>
      </c>
      <c r="C7" t="s">
        <v>28</v>
      </c>
      <c r="D7" s="1">
        <v>335.0</v>
      </c>
      <c r="E7" s="4" t="s">
        <v>11</v>
      </c>
      <c r="G7" s="5" t="s">
        <v>42</v>
      </c>
      <c r="H7">
        <v>335.0</v>
      </c>
    </row>
    <row r="8" spans="8:8" ht="15.25">
      <c r="A8">
        <v>6.0</v>
      </c>
      <c r="B8" t="s">
        <v>12</v>
      </c>
      <c r="C8" t="s">
        <v>29</v>
      </c>
      <c r="D8" s="1">
        <v>199.0</v>
      </c>
      <c r="E8" s="4" t="s">
        <v>12</v>
      </c>
      <c r="F8">
        <v>100.0</v>
      </c>
      <c r="G8" s="5" t="s">
        <v>42</v>
      </c>
      <c r="H8">
        <v>180.0</v>
      </c>
    </row>
    <row r="9" spans="8:8">
      <c r="A9">
        <v>7.0</v>
      </c>
      <c r="B9" t="s">
        <v>13</v>
      </c>
      <c r="C9" t="s">
        <v>14</v>
      </c>
      <c r="D9" s="1">
        <v>400.0</v>
      </c>
      <c r="E9" s="4" t="s">
        <v>13</v>
      </c>
      <c r="F9">
        <v>0.0</v>
      </c>
      <c r="G9" s="5" t="s">
        <v>42</v>
      </c>
      <c r="H9">
        <v>0.0</v>
      </c>
    </row>
    <row r="10" spans="8:8">
      <c r="A10">
        <v>8.0</v>
      </c>
      <c r="B10" t="s">
        <v>15</v>
      </c>
      <c r="C10" t="s">
        <v>16</v>
      </c>
      <c r="D10" s="1">
        <v>167.0</v>
      </c>
      <c r="E10" s="4" t="s">
        <v>15</v>
      </c>
      <c r="G10" s="5" t="s">
        <v>42</v>
      </c>
      <c r="H10">
        <v>167.0</v>
      </c>
    </row>
    <row r="11" spans="8:8">
      <c r="A11">
        <v>9.0</v>
      </c>
      <c r="B11" t="s">
        <v>31</v>
      </c>
      <c r="C11" t="s">
        <v>33</v>
      </c>
      <c r="D11" s="1">
        <v>99.0</v>
      </c>
      <c r="E11" s="4" t="s">
        <v>32</v>
      </c>
      <c r="G11" s="5" t="s">
        <v>42</v>
      </c>
      <c r="H11">
        <v>99.0</v>
      </c>
    </row>
    <row r="12" spans="8:8">
      <c r="A12">
        <v>10.0</v>
      </c>
      <c r="B12" t="s">
        <v>31</v>
      </c>
      <c r="C12" t="s">
        <v>34</v>
      </c>
      <c r="D12" s="1">
        <v>58.0</v>
      </c>
      <c r="E12" s="4" t="s">
        <v>32</v>
      </c>
      <c r="G12" s="5" t="s">
        <v>42</v>
      </c>
      <c r="H12">
        <v>58.0</v>
      </c>
    </row>
    <row r="13" spans="8:8">
      <c r="A13">
        <v>11.0</v>
      </c>
      <c r="B13" t="s">
        <v>37</v>
      </c>
      <c r="C13" t="s">
        <v>38</v>
      </c>
      <c r="D13" s="1">
        <v>249.0</v>
      </c>
      <c r="E13" s="4" t="s">
        <v>37</v>
      </c>
      <c r="G13" s="5" t="s">
        <v>42</v>
      </c>
      <c r="H13">
        <v>249.0</v>
      </c>
    </row>
    <row r="14" spans="8:8" ht="15.0">
      <c r="A14">
        <v>12.0</v>
      </c>
      <c r="B14" t="s">
        <v>88</v>
      </c>
      <c r="C14" t="s">
        <v>87</v>
      </c>
      <c r="D14" s="6">
        <v>550.0</v>
      </c>
      <c r="E14" s="4" t="s">
        <v>89</v>
      </c>
      <c r="F14">
        <v>150.0</v>
      </c>
      <c r="G14" s="5" t="s">
        <v>42</v>
      </c>
      <c r="H14">
        <v>150.0</v>
      </c>
    </row>
    <row r="16" spans="8:8">
      <c r="C16" t="s">
        <v>18</v>
      </c>
      <c r="D16" s="1">
        <f>SUM(D3:D14)</f>
        <v>5687.0</v>
      </c>
    </row>
    <row r="19" spans="8:8">
      <c r="B19" s="2" t="s">
        <v>21</v>
      </c>
      <c r="C19" s="2"/>
      <c r="D19" s="2"/>
    </row>
    <row r="20" spans="8:8">
      <c r="A20" t="s">
        <v>0</v>
      </c>
      <c r="B20" s="1" t="s">
        <v>1</v>
      </c>
      <c r="C20" s="1" t="s">
        <v>22</v>
      </c>
      <c r="D20" s="1" t="s">
        <v>23</v>
      </c>
      <c r="E20" s="1" t="s">
        <v>2</v>
      </c>
      <c r="F20" s="7" t="s">
        <v>40</v>
      </c>
      <c r="G20" s="1" t="s">
        <v>41</v>
      </c>
      <c r="H20" s="7" t="s">
        <v>69</v>
      </c>
    </row>
    <row r="21" spans="8:8">
      <c r="A21">
        <v>1.0</v>
      </c>
      <c r="B21" s="8" t="s">
        <v>24</v>
      </c>
      <c r="C21" t="s">
        <v>17</v>
      </c>
      <c r="D21" s="1">
        <v>68.0</v>
      </c>
      <c r="E21" s="4" t="s">
        <v>25</v>
      </c>
      <c r="F21" t="s">
        <v>76</v>
      </c>
      <c r="G21" s="5" t="s">
        <v>42</v>
      </c>
      <c r="H21">
        <v>0.0</v>
      </c>
    </row>
    <row r="22" spans="8:8" ht="15.0">
      <c r="A22">
        <v>2.0</v>
      </c>
      <c r="B22" t="s">
        <v>26</v>
      </c>
      <c r="C22" t="s">
        <v>68</v>
      </c>
      <c r="D22" s="1">
        <v>144.0</v>
      </c>
      <c r="E22" s="4" t="s">
        <v>27</v>
      </c>
      <c r="F22">
        <v>20.0</v>
      </c>
      <c r="G22" s="5" t="s">
        <v>42</v>
      </c>
      <c r="H22">
        <v>20.0</v>
      </c>
    </row>
    <row r="23" spans="8:8" ht="15.0">
      <c r="A23">
        <v>3.0</v>
      </c>
      <c r="B23" t="s">
        <v>35</v>
      </c>
      <c r="C23" t="s">
        <v>36</v>
      </c>
      <c r="D23" s="1">
        <v>306.0</v>
      </c>
      <c r="E23" s="4" t="s">
        <v>30</v>
      </c>
      <c r="F23">
        <v>180.0</v>
      </c>
      <c r="G23" s="5" t="s">
        <v>42</v>
      </c>
    </row>
    <row r="24" spans="8:8" ht="15.0">
      <c r="A24">
        <v>4.0</v>
      </c>
      <c r="B24" t="s">
        <v>43</v>
      </c>
      <c r="C24" t="s">
        <v>44</v>
      </c>
      <c r="D24" s="1">
        <v>10.0</v>
      </c>
      <c r="E24" s="4" t="s">
        <v>45</v>
      </c>
      <c r="F24">
        <v>20.0</v>
      </c>
      <c r="G24" s="5" t="s">
        <v>42</v>
      </c>
      <c r="H24">
        <v>20.0</v>
      </c>
    </row>
    <row r="25" spans="8:8">
      <c r="A25">
        <v>5.0</v>
      </c>
      <c r="B25" t="s">
        <v>46</v>
      </c>
      <c r="C25" t="s">
        <v>47</v>
      </c>
      <c r="D25" s="1">
        <v>25.0</v>
      </c>
      <c r="E25" s="4" t="s">
        <v>46</v>
      </c>
      <c r="G25" s="5" t="s">
        <v>42</v>
      </c>
      <c r="H25">
        <v>25.0</v>
      </c>
    </row>
    <row r="26" spans="8:8">
      <c r="A26">
        <v>6.0</v>
      </c>
      <c r="B26" t="s">
        <v>46</v>
      </c>
      <c r="C26" t="s">
        <v>48</v>
      </c>
      <c r="D26" s="1">
        <v>25.0</v>
      </c>
      <c r="E26" s="4" t="s">
        <v>46</v>
      </c>
      <c r="G26" s="5" t="s">
        <v>42</v>
      </c>
      <c r="H26">
        <v>25.0</v>
      </c>
    </row>
    <row r="27" spans="8:8">
      <c r="A27">
        <v>7.0</v>
      </c>
      <c r="B27" t="s">
        <v>49</v>
      </c>
      <c r="C27" t="s">
        <v>50</v>
      </c>
      <c r="D27" s="1">
        <v>140.0</v>
      </c>
      <c r="E27" s="4" t="s">
        <v>51</v>
      </c>
      <c r="F27">
        <v>140.0</v>
      </c>
      <c r="G27" s="5" t="s">
        <v>42</v>
      </c>
    </row>
    <row r="28" spans="8:8">
      <c r="A28">
        <v>8.0</v>
      </c>
      <c r="B28" t="s">
        <v>30</v>
      </c>
      <c r="C28" t="s">
        <v>52</v>
      </c>
      <c r="D28" s="9">
        <v>130.0</v>
      </c>
      <c r="E28" s="4" t="s">
        <v>30</v>
      </c>
      <c r="F28" t="s">
        <v>103</v>
      </c>
      <c r="G28" s="5" t="s">
        <v>42</v>
      </c>
      <c r="H28">
        <v>230.0</v>
      </c>
    </row>
    <row r="29" spans="8:8">
      <c r="A29">
        <v>9.0</v>
      </c>
      <c r="B29" t="s">
        <v>73</v>
      </c>
      <c r="C29" t="s">
        <v>104</v>
      </c>
      <c r="D29" s="9">
        <v>69.0</v>
      </c>
      <c r="E29" s="4" t="s">
        <v>53</v>
      </c>
      <c r="F29" t="s">
        <v>105</v>
      </c>
      <c r="G29" s="5" t="s">
        <v>42</v>
      </c>
      <c r="H29">
        <v>70.0</v>
      </c>
    </row>
    <row r="30" spans="8:8">
      <c r="A30">
        <v>10.0</v>
      </c>
      <c r="B30" t="s">
        <v>54</v>
      </c>
      <c r="C30" t="s">
        <v>55</v>
      </c>
      <c r="D30" s="1">
        <v>110.0</v>
      </c>
      <c r="E30" s="4" t="s">
        <v>56</v>
      </c>
      <c r="G30" s="5" t="s">
        <v>42</v>
      </c>
      <c r="H30">
        <v>110.0</v>
      </c>
    </row>
    <row r="31" spans="8:8">
      <c r="A31">
        <v>11.0</v>
      </c>
      <c r="B31" t="s">
        <v>64</v>
      </c>
      <c r="C31" t="s">
        <v>57</v>
      </c>
      <c r="D31" s="10">
        <v>58.0</v>
      </c>
      <c r="E31" s="4" t="s">
        <v>58</v>
      </c>
      <c r="G31" s="5" t="s">
        <v>42</v>
      </c>
      <c r="H31">
        <v>58.0</v>
      </c>
    </row>
    <row r="32" spans="8:8">
      <c r="A32">
        <v>12.0</v>
      </c>
      <c r="B32" t="s">
        <v>65</v>
      </c>
      <c r="C32" t="s">
        <v>57</v>
      </c>
      <c r="D32" s="10">
        <v>58.0</v>
      </c>
      <c r="E32" s="4" t="s">
        <v>59</v>
      </c>
      <c r="G32" s="5" t="s">
        <v>42</v>
      </c>
      <c r="H32">
        <v>58.0</v>
      </c>
    </row>
    <row r="33" spans="8:8">
      <c r="A33">
        <v>13.0</v>
      </c>
      <c r="B33" t="s">
        <v>63</v>
      </c>
      <c r="C33" t="s">
        <v>62</v>
      </c>
      <c r="D33" s="10">
        <v>70.0</v>
      </c>
      <c r="E33" s="4" t="s">
        <v>61</v>
      </c>
      <c r="G33" s="5" t="s">
        <v>42</v>
      </c>
      <c r="H33">
        <v>70.0</v>
      </c>
    </row>
    <row r="34" spans="8:8">
      <c r="A34">
        <v>14.0</v>
      </c>
      <c r="B34" t="s">
        <v>66</v>
      </c>
      <c r="C34" t="s">
        <v>60</v>
      </c>
      <c r="D34" s="10">
        <v>29.0</v>
      </c>
      <c r="E34" s="4" t="s">
        <v>67</v>
      </c>
      <c r="G34" s="5" t="s">
        <v>42</v>
      </c>
      <c r="H34">
        <v>29.0</v>
      </c>
    </row>
    <row r="35" spans="8:8">
      <c r="A35">
        <v>15.0</v>
      </c>
      <c r="B35" t="s">
        <v>72</v>
      </c>
      <c r="C35" t="s">
        <v>71</v>
      </c>
      <c r="D35" s="3">
        <v>99.0</v>
      </c>
      <c r="E35" s="4" t="s">
        <v>70</v>
      </c>
      <c r="F35">
        <v>29.0</v>
      </c>
      <c r="G35" s="5" t="s">
        <v>42</v>
      </c>
      <c r="H35">
        <v>29.0</v>
      </c>
    </row>
    <row r="36" spans="8:8">
      <c r="A36">
        <v>16.0</v>
      </c>
      <c r="B36" t="s">
        <v>81</v>
      </c>
      <c r="C36" t="s">
        <v>82</v>
      </c>
      <c r="D36" s="7">
        <v>800.0</v>
      </c>
      <c r="E36" s="4" t="s">
        <v>83</v>
      </c>
      <c r="F36">
        <v>400.0</v>
      </c>
      <c r="G36" s="5" t="s">
        <v>42</v>
      </c>
      <c r="H36">
        <v>400.0</v>
      </c>
    </row>
    <row r="37" spans="8:8">
      <c r="A37">
        <v>17.0</v>
      </c>
      <c r="B37" t="s">
        <v>85</v>
      </c>
      <c r="C37" t="s">
        <v>84</v>
      </c>
      <c r="D37" s="3">
        <v>120.0</v>
      </c>
      <c r="E37" s="4" t="s">
        <v>86</v>
      </c>
      <c r="F37">
        <v>85.0</v>
      </c>
      <c r="G37" s="5" t="s">
        <v>42</v>
      </c>
      <c r="H37">
        <v>85.0</v>
      </c>
    </row>
    <row r="38" spans="8:8" ht="15.0">
      <c r="A38">
        <v>18.0</v>
      </c>
      <c r="B38" t="s">
        <v>91</v>
      </c>
      <c r="C38" t="s">
        <v>92</v>
      </c>
      <c r="D38" s="7" t="s">
        <v>93</v>
      </c>
      <c r="E38" s="4" t="s">
        <v>93</v>
      </c>
      <c r="F38">
        <v>70.0</v>
      </c>
      <c r="G38" s="5" t="s">
        <v>42</v>
      </c>
      <c r="H38">
        <v>70.0</v>
      </c>
    </row>
    <row r="39" spans="8:8">
      <c r="A39">
        <v>19.0</v>
      </c>
      <c r="B39" t="s">
        <v>13</v>
      </c>
      <c r="C39" t="s">
        <v>99</v>
      </c>
      <c r="D39" s="6">
        <v>150.0</v>
      </c>
      <c r="E39" s="4" t="s">
        <v>13</v>
      </c>
      <c r="F39">
        <v>60.0</v>
      </c>
      <c r="G39" s="5" t="s">
        <v>42</v>
      </c>
      <c r="H39">
        <v>60.0</v>
      </c>
    </row>
    <row r="40" spans="8:8">
      <c r="A40">
        <v>20.0</v>
      </c>
      <c r="B40" t="s">
        <v>46</v>
      </c>
      <c r="C40" t="s">
        <v>100</v>
      </c>
      <c r="D40" s="11">
        <v>40.0</v>
      </c>
      <c r="E40" s="4" t="s">
        <v>46</v>
      </c>
      <c r="F40">
        <v>15.0</v>
      </c>
      <c r="G40" s="5" t="s">
        <v>42</v>
      </c>
      <c r="H40">
        <v>15.0</v>
      </c>
    </row>
    <row r="41" spans="8:8">
      <c r="A41">
        <v>21.0</v>
      </c>
      <c r="B41" t="s">
        <v>101</v>
      </c>
      <c r="C41" t="s">
        <v>102</v>
      </c>
      <c r="D41" s="11">
        <v>100.0</v>
      </c>
      <c r="E41" s="4" t="s">
        <v>101</v>
      </c>
      <c r="F41">
        <v>58.0</v>
      </c>
      <c r="G41" s="5" t="s">
        <v>42</v>
      </c>
      <c r="H41">
        <v>50.0</v>
      </c>
    </row>
    <row r="42" spans="8:8">
      <c r="A42">
        <v>22.0</v>
      </c>
      <c r="B42" t="s">
        <v>106</v>
      </c>
      <c r="C42" t="s">
        <v>107</v>
      </c>
      <c r="D42" s="7">
        <v>9.0</v>
      </c>
      <c r="E42" s="4" t="s">
        <v>108</v>
      </c>
      <c r="F42">
        <v>10.0</v>
      </c>
      <c r="G42" s="5" t="s">
        <v>42</v>
      </c>
      <c r="H42">
        <v>20.0</v>
      </c>
    </row>
    <row r="43" spans="8:8" ht="15.25">
      <c r="A43">
        <v>23.0</v>
      </c>
      <c r="B43" t="s">
        <v>113</v>
      </c>
      <c r="C43" t="s">
        <v>114</v>
      </c>
      <c r="D43" s="7">
        <v>50.0</v>
      </c>
      <c r="E43" s="4" t="s">
        <v>115</v>
      </c>
      <c r="F43">
        <v>15.0</v>
      </c>
      <c r="G43" s="12" t="s">
        <v>122</v>
      </c>
      <c r="H43">
        <v>15.0</v>
      </c>
    </row>
    <row r="44" spans="8:8" ht="15.25">
      <c r="A44">
        <v>24.0</v>
      </c>
      <c r="B44" t="s">
        <v>116</v>
      </c>
      <c r="C44" t="s">
        <v>117</v>
      </c>
      <c r="D44" s="11" t="s">
        <v>119</v>
      </c>
      <c r="E44" s="13" t="s">
        <v>120</v>
      </c>
      <c r="F44" t="s">
        <v>121</v>
      </c>
      <c r="G44" s="12" t="s">
        <v>122</v>
      </c>
      <c r="H44">
        <v>18.0</v>
      </c>
    </row>
    <row r="45" spans="8:8" ht="15.25" customFormat="1">
      <c r="A45">
        <v>25.0</v>
      </c>
      <c r="B45" t="s">
        <v>123</v>
      </c>
      <c r="C45" t="s">
        <v>124</v>
      </c>
      <c r="D45" s="11">
        <v>120.0</v>
      </c>
      <c r="E45" s="13" t="s">
        <v>125</v>
      </c>
      <c r="F45">
        <v>60.0</v>
      </c>
      <c r="G45" s="12" t="s">
        <v>42</v>
      </c>
      <c r="H45">
        <v>60.0</v>
      </c>
    </row>
    <row r="46" spans="8:8" ht="15.6" customFormat="1">
      <c r="A46">
        <v>26.0</v>
      </c>
      <c r="B46" t="s">
        <v>126</v>
      </c>
      <c r="C46" t="s">
        <v>127</v>
      </c>
      <c r="D46" s="11" t="s">
        <v>128</v>
      </c>
      <c r="E46" s="13" t="s">
        <v>129</v>
      </c>
      <c r="F46">
        <v>250.0</v>
      </c>
      <c r="G46" s="12" t="s">
        <v>130</v>
      </c>
      <c r="H46">
        <v>250.0</v>
      </c>
    </row>
    <row r="47" spans="8:8" ht="15.6" customFormat="1">
      <c r="A47">
        <v>27.0</v>
      </c>
      <c r="B47" t="s">
        <v>131</v>
      </c>
      <c r="C47" t="s">
        <v>132</v>
      </c>
      <c r="D47" s="11">
        <v>300.0</v>
      </c>
      <c r="E47" s="13" t="s">
        <v>133</v>
      </c>
      <c r="F47">
        <v>100.0</v>
      </c>
      <c r="G47" s="12" t="s">
        <v>130</v>
      </c>
      <c r="H47">
        <v>100.0</v>
      </c>
    </row>
    <row r="48" spans="8:8" ht="15.25">
      <c r="D48" s="11"/>
      <c r="E48" s="4"/>
      <c r="G48" s="12" t="s">
        <v>122</v>
      </c>
    </row>
    <row r="49" spans="8:8">
      <c r="C49" t="s">
        <v>75</v>
      </c>
      <c r="D49" s="3"/>
      <c r="E49" s="4"/>
      <c r="G49" s="14"/>
      <c r="H49">
        <v>-37.0</v>
      </c>
    </row>
    <row r="50" spans="8:8">
      <c r="C50" t="s">
        <v>74</v>
      </c>
      <c r="D50" s="10"/>
      <c r="E50" s="4"/>
      <c r="G50" s="14"/>
      <c r="H50">
        <v>137.0</v>
      </c>
    </row>
    <row r="55" spans="8:8" ht="14.4"/>
    <row r="56" spans="8:8" ht="14.4"/>
    <row r="57" spans="8:8" ht="14.4">
      <c r="B57" s="2" t="s">
        <v>77</v>
      </c>
      <c r="C57" s="2"/>
      <c r="D57" s="2"/>
      <c r="E57" s="2"/>
    </row>
    <row r="58" spans="8:8" ht="14.4">
      <c r="A58" t="s">
        <v>78</v>
      </c>
      <c r="B58" s="7" t="s">
        <v>1</v>
      </c>
      <c r="C58" s="2" t="s">
        <v>22</v>
      </c>
      <c r="D58" s="2"/>
      <c r="E58" s="2"/>
      <c r="F58" s="2"/>
      <c r="G58" s="2"/>
      <c r="H58" s="1" t="s">
        <v>23</v>
      </c>
    </row>
    <row r="59" spans="8:8" ht="15.0">
      <c r="A59">
        <v>1.0</v>
      </c>
      <c r="B59" t="s">
        <v>79</v>
      </c>
      <c r="C59" s="15" t="s">
        <v>80</v>
      </c>
      <c r="D59" s="15"/>
      <c r="E59" s="15"/>
      <c r="F59" s="15"/>
      <c r="G59" s="15"/>
      <c r="H59">
        <v>100.0</v>
      </c>
    </row>
    <row r="60" spans="8:8" ht="15.0">
      <c r="A60">
        <v>2.0</v>
      </c>
      <c r="B60" t="s">
        <v>90</v>
      </c>
      <c r="C60" s="15" t="s">
        <v>94</v>
      </c>
      <c r="D60" s="15"/>
      <c r="E60" s="15"/>
      <c r="F60" s="15"/>
      <c r="G60" s="15"/>
      <c r="H60">
        <v>70.0</v>
      </c>
    </row>
    <row r="61" spans="8:8">
      <c r="A61">
        <v>3.0</v>
      </c>
      <c r="B61" t="s">
        <v>95</v>
      </c>
      <c r="C61" s="15" t="s">
        <v>96</v>
      </c>
      <c r="D61" s="15"/>
      <c r="E61" s="15"/>
      <c r="F61" s="15"/>
      <c r="G61" s="15"/>
      <c r="H61">
        <v>10.0</v>
      </c>
    </row>
    <row r="62" spans="8:8">
      <c r="A62">
        <v>4.0</v>
      </c>
      <c r="B62" t="s">
        <v>97</v>
      </c>
      <c r="C62" s="15" t="s">
        <v>98</v>
      </c>
      <c r="D62" s="15"/>
      <c r="E62" s="15"/>
      <c r="F62" s="15"/>
      <c r="G62" s="15"/>
      <c r="H62">
        <v>100.0</v>
      </c>
    </row>
    <row r="63" spans="8:8">
      <c r="A63">
        <v>5.0</v>
      </c>
      <c r="B63" t="s">
        <v>109</v>
      </c>
      <c r="C63" s="15" t="s">
        <v>110</v>
      </c>
      <c r="D63" s="15"/>
      <c r="E63" s="15"/>
      <c r="F63" s="15"/>
      <c r="G63" s="15"/>
      <c r="H63">
        <v>150.0</v>
      </c>
    </row>
    <row r="64" spans="8:8">
      <c r="A64">
        <v>6.0</v>
      </c>
      <c r="B64" t="s">
        <v>111</v>
      </c>
      <c r="C64" s="15" t="s">
        <v>112</v>
      </c>
      <c r="D64" s="15"/>
      <c r="E64" s="15"/>
      <c r="F64" s="15"/>
      <c r="G64" s="15"/>
      <c r="H64">
        <v>15.0</v>
      </c>
    </row>
    <row r="65" spans="8:8">
      <c r="C65" s="2"/>
      <c r="D65" s="2"/>
      <c r="E65" s="2"/>
      <c r="F65" s="2"/>
      <c r="G65" s="2"/>
    </row>
    <row r="66" spans="8:8">
      <c r="C66" s="2"/>
      <c r="D66" s="2"/>
      <c r="E66" s="2"/>
      <c r="F66" s="2"/>
      <c r="G66" s="2"/>
    </row>
    <row r="67" spans="8:8">
      <c r="C67" s="2"/>
      <c r="D67" s="2"/>
      <c r="E67" s="2"/>
      <c r="F67" s="2"/>
      <c r="G67" s="2"/>
    </row>
    <row r="68" spans="8:8" ht="14.4">
      <c r="C68" s="2"/>
      <c r="D68" s="2"/>
      <c r="E68" s="2"/>
      <c r="F68" s="2"/>
      <c r="G68" s="2"/>
    </row>
    <row r="69" spans="8:8" ht="14.4">
      <c r="C69" s="2"/>
      <c r="D69" s="2"/>
      <c r="E69" s="2"/>
      <c r="F69" s="2"/>
      <c r="G69" s="2"/>
    </row>
    <row r="70" spans="8:8" ht="14.4">
      <c r="C70" s="2"/>
      <c r="D70" s="2"/>
      <c r="E70" s="2"/>
      <c r="F70" s="2"/>
      <c r="G70" s="2"/>
    </row>
    <row r="71" spans="8:8" ht="14.4"/>
    <row r="72" spans="8:8" ht="15.0">
      <c r="C72" t="s">
        <v>18</v>
      </c>
      <c r="D72" s="1">
        <f>SUM(D21:D50)</f>
        <v>3030.0</v>
      </c>
      <c r="H72">
        <f>SUM(H3:H70)</f>
        <v>7511.0</v>
      </c>
    </row>
  </sheetData>
  <mergeCells count="16">
    <mergeCell ref="B19:D19"/>
    <mergeCell ref="B1:D1"/>
    <mergeCell ref="C63:G63"/>
    <mergeCell ref="C59:G59"/>
    <mergeCell ref="C60:G60"/>
    <mergeCell ref="C61:G61"/>
    <mergeCell ref="C58:G58"/>
    <mergeCell ref="B57:E57"/>
    <mergeCell ref="C62:G62"/>
    <mergeCell ref="C70:G70"/>
    <mergeCell ref="C65:G65"/>
    <mergeCell ref="C68:G68"/>
    <mergeCell ref="C69:G69"/>
    <mergeCell ref="C64:G64"/>
    <mergeCell ref="C66:G66"/>
    <mergeCell ref="C67:G67"/>
  </mergeCells>
  <hyperlinks>
    <hyperlink ref="E3" r:id="rId1"/>
    <hyperlink ref="E4" r:id="rId2"/>
    <hyperlink ref="E6" r:id="rId3"/>
    <hyperlink ref="E7" r:id="rId4"/>
    <hyperlink ref="E8" r:id="rId5"/>
    <hyperlink ref="E9" r:id="rId6"/>
    <hyperlink ref="E10" r:id="rId7"/>
    <hyperlink ref="E21" r:id="rId8"/>
    <hyperlink ref="E22" r:id="rId9"/>
    <hyperlink ref="E23" r:id="rId10"/>
    <hyperlink ref="E11" r:id="rId11"/>
    <hyperlink ref="E12" r:id="rId12"/>
    <hyperlink ref="E13" r:id="rId13"/>
    <hyperlink ref="E5" r:id="rId14"/>
    <hyperlink ref="E24" r:id="rId15"/>
    <hyperlink ref="E25" r:id="rId16"/>
    <hyperlink ref="E26" r:id="rId17"/>
    <hyperlink ref="E28" r:id="rId18"/>
    <hyperlink ref="E29" r:id="rId19"/>
    <hyperlink ref="E30" r:id="rId20"/>
    <hyperlink ref="E31" r:id="rId21"/>
    <hyperlink ref="E32" r:id="rId22"/>
    <hyperlink ref="E33" r:id="rId23"/>
    <hyperlink ref="E34" r:id="rId24"/>
    <hyperlink ref="E27" r:id="rId25"/>
    <hyperlink ref="E35" r:id="rId26"/>
    <hyperlink ref="E36" r:id="rId27"/>
    <hyperlink ref="E14" r:id="rId28"/>
    <hyperlink ref="E39" r:id="rId29"/>
    <hyperlink ref="E41" r:id="rId30"/>
    <hyperlink ref="E40" r:id="rId31"/>
    <hyperlink ref="E44" r:id="rId32"/>
  </hyperlinks>
  <pageMargins left="0.7" right="0.7" top="0.75" bottom="0.75" header="0.3" footer="0.3"/>
</worksheet>
</file>

<file path=xl/worksheets/sheet2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4" defaultColWidth="10"/>
  <sheetData/>
  <pageMargins left="0.7" right="0.7" top="0.75" bottom="0.75" header="0.3" footer="0.3"/>
</worksheet>
</file>

<file path=xl/worksheets/sheet3.xml><?xml version="1.0" encoding="utf-8"?>
<worksheet xmlns:r="http://schemas.openxmlformats.org/officeDocument/2006/relationships" xmlns="http://schemas.openxmlformats.org/spreadsheetml/2006/main">
  <dimension ref="A1:B1"/>
  <sheetViews>
    <sheetView workbookViewId="0">
      <selection activeCell="A1" sqref="A1"/>
    </sheetView>
  </sheetViews>
  <sheetFormatPr defaultRowHeight="14.4" defaultColWidth="10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Kingsoft Office</Application>
  <DocSecurity>0</DocSecurity>
  <ScaleCrop>0</ScaleCrop>
  <LinksUpToDate>0</LinksUpToDate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CPH1911</dc:creator>
  <dcterms:created xsi:type="dcterms:W3CDTF">2006-09-15T18:30:00Z</dcterms:created>
  <dcterms:modified xsi:type="dcterms:W3CDTF">2023-06-11T05:04:53Z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7362f732c2a5450c8e1d86b531b8fab8</vt:lpwstr>
  </property>
</Properties>
</file>